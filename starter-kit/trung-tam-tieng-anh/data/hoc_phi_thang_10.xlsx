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30" documentId="11_076BA83E8B9CB513A3A2CF331EB8AB41F9303E5B" xr6:coauthVersionLast="47" xr6:coauthVersionMax="47" xr10:uidLastSave="{B49759A4-A0FA-43AC-95D6-BACBEA734808}"/>
  <bookViews>
    <workbookView xWindow="0" yWindow="0" windowWidth="0" windowHeight="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<sst xmlns="http://schemas.openxmlformats.org/spreadsheetml/2006/main" count="72" uniqueCount="53">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</sst>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A16" sqref="A16"/>
    </sheetView>
  </sheetViews>
  <sheetFormatPr defaultRowHeight="15"/>
  <cols>
    <col min="1" max="4" width="16" customWidth="1"/>
    <col min="5" max="5" width="22.28515625" customWidth="1"/>
    <col min="6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t="s">
        <v>7</v>
      </c>
      <c r="B2" t="s">
        <v>8</v>
      </c>
      <c r="C2" t="s">
        <v>9</v>
      </c>
      <c r="D2">
        <v>3</v>
      </c>
      <c r="E2" t="str">
        <f>VLOOKUP(C2,KhoaHoc!$A$1:$C$8,2,FALSE)</f>
        <v>Tieng Anh thieu nhi</v>
      </c>
      <c r="F2">
        <f>VLOOKUP(DangKy!C2,KhoaHoc!$A$1:$C$8,3,FALSE)</f>
        <v>900000</v>
      </c>
      <c r="G2">
        <f>D2*F2</f>
        <v>2700000</v>
      </c>
    </row>
    <row r="3" spans="1:7" hidden="1">
      <c r="A3" t="s">
        <v>10</v>
      </c>
      <c r="B3" t="s">
        <v>11</v>
      </c>
      <c r="C3" t="s">
        <v>12</v>
      </c>
      <c r="D3">
        <v>2</v>
      </c>
      <c r="E3" t="str">
        <f>VLOOKUP(C3,KhoaHoc!$A$1:$C$8,2,FALSE)</f>
        <v>IELTS 6.5</v>
      </c>
      <c r="F3">
        <f>VLOOKUP(DangKy!C3,KhoaHoc!$A$1:$C$8,3,FALSE)</f>
        <v>2500000</v>
      </c>
      <c r="G3">
        <f t="shared" ref="G3:G16" si="0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VLOOKUP(C4,KhoaHoc!$A$1:$C$8,2,FALSE)</f>
        <v>Luyen phong van</v>
      </c>
      <c r="F4">
        <f>VLOOKUP(DangKy!C4,KhoaHoc!$A$1:$C$8,3,FALSE)</f>
        <v>3000000</v>
      </c>
      <c r="G4">
        <f t="shared" si="0"/>
        <v>9000000</v>
      </c>
    </row>
    <row r="5" spans="1:7" hidden="1">
      <c r="A5" t="s">
        <v>16</v>
      </c>
      <c r="B5" t="s">
        <v>17</v>
      </c>
      <c r="C5" t="s">
        <v>18</v>
      </c>
      <c r="D5">
        <v>1</v>
      </c>
      <c r="E5" t="str">
        <f>VLOOKUP(C5,KhoaHoc!$A$1:$C$8,2,FALSE)</f>
        <v>Giao tiep nang cao</v>
      </c>
      <c r="F5">
        <f>VLOOKUP(DangKy!C5,KhoaHoc!$A$1:$C$8,3,FALSE)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VLOOKUP(C6,KhoaHoc!$A$1:$C$8,2,FALSE)</f>
        <v>Giao tiep nang cao</v>
      </c>
      <c r="F6">
        <f>VLOOKUP(DangKy!C6,KhoaHoc!$A$1:$C$8,3,FALSE)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VLOOKUP(C7,KhoaHoc!$A$1:$C$8,2,FALSE)</f>
        <v>IELTS 5.0</v>
      </c>
      <c r="F7">
        <f>VLOOKUP(DangKy!C7,KhoaHoc!$A$1:$C$8,3,FALSE)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VLOOKUP(C8,KhoaHoc!$A$1:$C$8,2,FALSE)</f>
        <v>TOEIC 550</v>
      </c>
      <c r="F8">
        <f>VLOOKUP(DangKy!C8,KhoaHoc!$A$1:$C$8,3,FALSE)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VLOOKUP(C9,KhoaHoc!$A$1:$C$8,2,FALSE)</f>
        <v>Luyen phong van</v>
      </c>
      <c r="F9">
        <f>VLOOKUP(DangKy!C9,KhoaHoc!$A$1:$C$8,3,FALSE)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VLOOKUP(C10,KhoaHoc!$A$1:$C$8,2,FALSE)</f>
        <v>IELTS 6.5</v>
      </c>
      <c r="F10">
        <f>VLOOKUP(DangKy!C10,KhoaHoc!$A$1:$C$8,3,FALSE)</f>
        <v>2500000</v>
      </c>
      <c r="G10">
        <f t="shared" si="0"/>
        <v>7500000</v>
      </c>
    </row>
    <row r="11" spans="1:7" hidden="1">
      <c r="A11" t="s">
        <v>31</v>
      </c>
      <c r="B11" t="s">
        <v>32</v>
      </c>
      <c r="C11" t="s">
        <v>12</v>
      </c>
      <c r="D11">
        <v>1</v>
      </c>
      <c r="E11" t="str">
        <f>VLOOKUP(C11,KhoaHoc!$A$1:$C$8,2,FALSE)</f>
        <v>IELTS 6.5</v>
      </c>
      <c r="F11">
        <f>VLOOKUP(DangKy!C11,KhoaHoc!$A$1:$C$8,3,FALSE)</f>
        <v>2500000</v>
      </c>
      <c r="G11">
        <f t="shared" si="0"/>
        <v>2500000</v>
      </c>
    </row>
    <row r="12" spans="1:7" hidden="1">
      <c r="A12" t="s">
        <v>33</v>
      </c>
      <c r="B12" t="s">
        <v>34</v>
      </c>
      <c r="C12" t="s">
        <v>9</v>
      </c>
      <c r="D12">
        <v>1</v>
      </c>
      <c r="E12" t="str">
        <f>VLOOKUP(C12,KhoaHoc!$A$1:$C$8,2,FALSE)</f>
        <v>Tieng Anh thieu nhi</v>
      </c>
      <c r="F12">
        <f>VLOOKUP(DangKy!C12,KhoaHoc!$A$1:$C$8,3,FALSE)</f>
        <v>900000</v>
      </c>
      <c r="G12">
        <f t="shared" si="0"/>
        <v>900000</v>
      </c>
    </row>
    <row r="13" spans="1:7" hidden="1">
      <c r="A13" t="s">
        <v>35</v>
      </c>
      <c r="B13" t="s">
        <v>36</v>
      </c>
      <c r="C13" t="s">
        <v>37</v>
      </c>
      <c r="D13">
        <v>4</v>
      </c>
      <c r="E13" t="str">
        <f>VLOOKUP(C13,KhoaHoc!$A$1:$C$8,2,FALSE)</f>
        <v>Giao tiep co ban</v>
      </c>
      <c r="F13">
        <f>VLOOKUP(DangKy!C13,KhoaHoc!$A$1:$C$8,3,FALSE)</f>
        <v>1200000</v>
      </c>
      <c r="G13">
        <f t="shared" si="0"/>
        <v>4800000</v>
      </c>
    </row>
    <row r="14" spans="1:7" hidden="1">
      <c r="A14" t="s">
        <v>38</v>
      </c>
      <c r="B14" t="s">
        <v>39</v>
      </c>
      <c r="C14" t="s">
        <v>26</v>
      </c>
      <c r="D14">
        <v>3</v>
      </c>
      <c r="E14" t="str">
        <f>VLOOKUP(C14,KhoaHoc!$A$1:$C$8,2,FALSE)</f>
        <v>TOEIC 550</v>
      </c>
      <c r="F14">
        <f>VLOOKUP(DangKy!C14,KhoaHoc!$A$1:$C$8,3,FALSE)</f>
        <v>1800000</v>
      </c>
      <c r="G14">
        <f t="shared" si="0"/>
        <v>5400000</v>
      </c>
    </row>
    <row r="15" spans="1:7" hidden="1">
      <c r="A15" t="s">
        <v>40</v>
      </c>
      <c r="B15" t="s">
        <v>41</v>
      </c>
      <c r="C15" t="s">
        <v>12</v>
      </c>
      <c r="D15">
        <v>1</v>
      </c>
      <c r="E15" t="str">
        <f>VLOOKUP(C15,KhoaHoc!$A$1:$C$8,2,FALSE)</f>
        <v>IELTS 6.5</v>
      </c>
      <c r="F15">
        <f>VLOOKUP(DangKy!C15,KhoaHoc!$A$1:$C$8,3,FALSE)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VLOOKUP(C16,KhoaHoc!$A$1:$C$8,2,FALSE)</f>
        <v>IELTS 6.5</v>
      </c>
      <c r="F16">
        <f>VLOOKUP(DangKy!C16,KhoaHoc!$A$1:$C$8,3,FALSE)</f>
        <v>2500000</v>
      </c>
      <c r="G16">
        <f t="shared" si="0"/>
        <v>10000000</v>
      </c>
    </row>
  </sheetData>
  <autoFilter ref="A1:G16" xr:uid="{00000000-0001-0000-0000-000000000000}">
    <filterColumn colId="6">
      <dynamicFilter type="aboveAverage" val="5466666.666666667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3" sqref="E3"/>
    </sheetView>
  </sheetViews>
  <sheetFormatPr defaultRowHeight="1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VLOOKUP(E2,A1:C8,3,FALSE)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nguyenthe</cp:lastModifiedBy>
  <cp:revision/>
  <dcterms:created xsi:type="dcterms:W3CDTF">2026-10-19T10:04:50Z</dcterms:created>
  <dcterms:modified xsi:type="dcterms:W3CDTF">2026-10-22T10:36:04Z</dcterms:modified>
  <cp:category/>
  <cp:contentStatus/>
</cp:coreProperties>
</file>